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anis\Desktop\CAPSTONE\STK_Simulation_Code\Input_Files\"/>
    </mc:Choice>
  </mc:AlternateContent>
  <xr:revisionPtr revIDLastSave="0" documentId="13_ncr:1_{3B15D947-D021-4A28-B7F8-3D7DFA717628}" xr6:coauthVersionLast="47" xr6:coauthVersionMax="47" xr10:uidLastSave="{00000000-0000-0000-0000-000000000000}"/>
  <bookViews>
    <workbookView minimized="1" xWindow="768" yWindow="720" windowWidth="11688" windowHeight="12240" tabRatio="315" activeTab="1" xr2:uid="{00000000-000D-0000-FFFF-FFFF00000000}"/>
  </bookViews>
  <sheets>
    <sheet name="Command" sheetId="1" r:id="rId1"/>
    <sheet name="Teleme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" i="2" l="1"/>
  <c r="S5" i="2"/>
  <c r="G5" i="2"/>
  <c r="S4" i="2" s="1"/>
  <c r="S3" i="2"/>
  <c r="G20" i="1"/>
  <c r="G19" i="1"/>
  <c r="C6" i="1" s="1"/>
  <c r="K13" i="1"/>
  <c r="K6" i="1"/>
  <c r="S5" i="1"/>
  <c r="G5" i="1"/>
  <c r="S4" i="1" s="1"/>
  <c r="G11" i="2" l="1"/>
  <c r="G13" i="2" s="1"/>
  <c r="G11" i="1"/>
  <c r="G13" i="1" s="1"/>
  <c r="S3" i="1"/>
</calcChain>
</file>

<file path=xl/sharedStrings.xml><?xml version="1.0" encoding="utf-8"?>
<sst xmlns="http://schemas.openxmlformats.org/spreadsheetml/2006/main" count="98" uniqueCount="38">
  <si>
    <t>Transmitter</t>
  </si>
  <si>
    <t>Link</t>
  </si>
  <si>
    <t>Receiver</t>
  </si>
  <si>
    <t xml:space="preserve">c </t>
  </si>
  <si>
    <t>m/s</t>
  </si>
  <si>
    <t>power</t>
  </si>
  <si>
    <t>W</t>
  </si>
  <si>
    <t>distance</t>
  </si>
  <si>
    <t>m</t>
  </si>
  <si>
    <t>aperature</t>
  </si>
  <si>
    <t>lambda</t>
  </si>
  <si>
    <t>data rate</t>
  </si>
  <si>
    <t>bps</t>
  </si>
  <si>
    <t>gain</t>
  </si>
  <si>
    <t>dB</t>
  </si>
  <si>
    <t>Ls</t>
  </si>
  <si>
    <t>frequency</t>
  </si>
  <si>
    <t>Hz</t>
  </si>
  <si>
    <t>noise temp</t>
  </si>
  <si>
    <t>K</t>
  </si>
  <si>
    <t>k</t>
  </si>
  <si>
    <t>J/K</t>
  </si>
  <si>
    <t>EIRP</t>
  </si>
  <si>
    <t>dBW</t>
  </si>
  <si>
    <t>loss</t>
  </si>
  <si>
    <t>G/T</t>
  </si>
  <si>
    <t>dB/K</t>
  </si>
  <si>
    <t>Legend</t>
  </si>
  <si>
    <t>Output</t>
  </si>
  <si>
    <t>Input</t>
  </si>
  <si>
    <t>Eb/N0</t>
  </si>
  <si>
    <t>Intermediate</t>
  </si>
  <si>
    <t>Threshold</t>
  </si>
  <si>
    <t>eta</t>
  </si>
  <si>
    <t>Margin</t>
  </si>
  <si>
    <t>X-band power</t>
  </si>
  <si>
    <t>difference</t>
  </si>
  <si>
    <t>FSPL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</si>
</sst>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2" borderId="1" xfId="0" applyFill="1" applyBorder="1"/>
    <xf numFmtId="11" fontId="0" fillId="2" borderId="1" xfId="0" applyNumberFormat="1" applyFill="1" applyBorder="1"/>
    <xf numFmtId="0" fontId="0" fillId="0" borderId="0" xfId="0" applyAlignment="1">
      <alignment horizontal="center" wrapText="1"/>
    </xf>
    <xf numFmtId="2" fontId="0" fillId="0" borderId="0" xfId="0" applyNumberFormat="1"/>
    <xf numFmtId="2" fontId="0" fillId="2" borderId="1" xfId="0" applyNumberFormat="1" applyFill="1" applyBorder="1"/>
    <xf numFmtId="11" fontId="0" fillId="6" borderId="1" xfId="0" applyNumberFormat="1" applyFill="1" applyBorder="1"/>
    <xf numFmtId="164" fontId="0" fillId="2" borderId="1" xfId="0" applyNumberFormat="1" applyFill="1" applyBorder="1"/>
    <xf numFmtId="164" fontId="3" fillId="4" borderId="1" xfId="0" applyNumberFormat="1" applyFon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2"/>
  <sheetViews>
    <sheetView zoomScale="72" zoomScaleNormal="100" workbookViewId="0">
      <selection activeCell="K24" sqref="K24:M42"/>
    </sheetView>
  </sheetViews>
  <sheetFormatPr defaultRowHeight="14.4" x14ac:dyDescent="0.3"/>
  <cols>
    <col min="3" max="3" width="11.44140625" customWidth="1"/>
    <col min="7" max="7" width="9.6640625" customWidth="1"/>
    <col min="10" max="10" width="11.33203125" customWidth="1"/>
    <col min="11" max="11" width="11.6640625" customWidth="1"/>
    <col min="12" max="12" width="11.21875" bestFit="1" customWidth="1"/>
    <col min="19" max="19" width="9" bestFit="1" customWidth="1"/>
  </cols>
  <sheetData>
    <row r="2" spans="2:20" x14ac:dyDescent="0.3">
      <c r="B2" s="16" t="s">
        <v>0</v>
      </c>
      <c r="C2" s="17"/>
      <c r="D2" s="18"/>
      <c r="F2" s="16" t="s">
        <v>1</v>
      </c>
      <c r="G2" s="17"/>
      <c r="H2" s="18"/>
      <c r="J2" s="16" t="s">
        <v>2</v>
      </c>
      <c r="K2" s="17"/>
      <c r="L2" s="18"/>
      <c r="R2" t="s">
        <v>3</v>
      </c>
      <c r="S2" s="1">
        <v>300000000</v>
      </c>
      <c r="T2" t="s">
        <v>4</v>
      </c>
    </row>
    <row r="3" spans="2:20" x14ac:dyDescent="0.3">
      <c r="B3" s="2" t="s">
        <v>5</v>
      </c>
      <c r="C3" s="9">
        <f>G19-G20</f>
        <v>25.141491344754378</v>
      </c>
      <c r="D3" s="2" t="s">
        <v>6</v>
      </c>
      <c r="F3" s="2" t="s">
        <v>7</v>
      </c>
      <c r="G3" s="8">
        <v>2979774.861343727</v>
      </c>
      <c r="H3" s="2" t="s">
        <v>8</v>
      </c>
      <c r="J3" s="2" t="s">
        <v>9</v>
      </c>
      <c r="K3" s="3">
        <v>7.0000000000000007E-2</v>
      </c>
      <c r="L3" s="2" t="s">
        <v>8</v>
      </c>
      <c r="R3" t="s">
        <v>10</v>
      </c>
      <c r="S3" s="1">
        <f>S2/(G5)</f>
        <v>0.12987012987012986</v>
      </c>
      <c r="T3" t="s">
        <v>8</v>
      </c>
    </row>
    <row r="4" spans="2:20" x14ac:dyDescent="0.3">
      <c r="B4" s="2" t="s">
        <v>9</v>
      </c>
      <c r="C4" s="3">
        <v>11</v>
      </c>
      <c r="D4" s="2" t="s">
        <v>8</v>
      </c>
      <c r="F4" s="2" t="s">
        <v>11</v>
      </c>
      <c r="G4" s="4">
        <v>56000</v>
      </c>
      <c r="H4" s="2" t="s">
        <v>12</v>
      </c>
      <c r="J4" s="2" t="s">
        <v>13</v>
      </c>
      <c r="K4" s="7">
        <v>6</v>
      </c>
      <c r="L4" s="2" t="s">
        <v>14</v>
      </c>
      <c r="R4" t="s">
        <v>15</v>
      </c>
      <c r="S4">
        <f>147.55 - 20*LOG10(G3) - 20 *LOG10(G5)</f>
        <v>-169.20590863661783</v>
      </c>
      <c r="T4" t="s">
        <v>14</v>
      </c>
    </row>
    <row r="5" spans="2:20" x14ac:dyDescent="0.3">
      <c r="B5" s="2" t="s">
        <v>13</v>
      </c>
      <c r="C5" s="7">
        <v>40.6</v>
      </c>
      <c r="D5" s="2" t="s">
        <v>14</v>
      </c>
      <c r="F5" s="2" t="s">
        <v>16</v>
      </c>
      <c r="G5" s="3">
        <f>2.31*10^9</f>
        <v>2310000000</v>
      </c>
      <c r="H5" s="2" t="s">
        <v>17</v>
      </c>
      <c r="J5" s="2" t="s">
        <v>18</v>
      </c>
      <c r="K5" s="3">
        <v>290</v>
      </c>
      <c r="L5" s="2" t="s">
        <v>19</v>
      </c>
      <c r="R5" t="s">
        <v>20</v>
      </c>
      <c r="S5" s="1">
        <f>1.38*10^(-23)</f>
        <v>1.3800000000000001E-23</v>
      </c>
      <c r="T5" t="s">
        <v>21</v>
      </c>
    </row>
    <row r="6" spans="2:20" x14ac:dyDescent="0.3">
      <c r="B6" s="2" t="s">
        <v>22</v>
      </c>
      <c r="C6" s="10">
        <f>10*LOG10(C3*C5)</f>
        <v>30.089170692018911</v>
      </c>
      <c r="D6" s="2" t="s">
        <v>23</v>
      </c>
      <c r="F6" s="2" t="s">
        <v>24</v>
      </c>
      <c r="G6" s="3">
        <v>3</v>
      </c>
      <c r="H6" s="2" t="s">
        <v>14</v>
      </c>
      <c r="J6" s="2" t="s">
        <v>25</v>
      </c>
      <c r="K6" s="12">
        <f>K4/K5</f>
        <v>2.0689655172413793E-2</v>
      </c>
      <c r="L6" s="2" t="s">
        <v>26</v>
      </c>
    </row>
    <row r="10" spans="2:20" x14ac:dyDescent="0.3">
      <c r="B10" s="16" t="s">
        <v>27</v>
      </c>
      <c r="C10" s="18"/>
      <c r="F10" s="21" t="s">
        <v>28</v>
      </c>
      <c r="G10" s="17"/>
      <c r="H10" s="18"/>
    </row>
    <row r="11" spans="2:20" x14ac:dyDescent="0.3">
      <c r="B11" s="22" t="s">
        <v>29</v>
      </c>
      <c r="C11" s="18"/>
      <c r="D11" s="6"/>
      <c r="F11" s="2" t="s">
        <v>30</v>
      </c>
      <c r="G11" s="11">
        <f>C6+K4-G6+S4-10*LOG10(S5*K5*G4)</f>
        <v>20.378610942337133</v>
      </c>
      <c r="H11" s="2" t="s">
        <v>14</v>
      </c>
    </row>
    <row r="12" spans="2:20" x14ac:dyDescent="0.3">
      <c r="B12" s="19" t="s">
        <v>31</v>
      </c>
      <c r="C12" s="18"/>
      <c r="F12" s="2" t="s">
        <v>32</v>
      </c>
      <c r="G12" s="3">
        <v>9.5</v>
      </c>
      <c r="H12" s="2" t="s">
        <v>14</v>
      </c>
      <c r="K12" t="s">
        <v>33</v>
      </c>
      <c r="L12">
        <v>1</v>
      </c>
    </row>
    <row r="13" spans="2:20" x14ac:dyDescent="0.3">
      <c r="B13" s="20" t="s">
        <v>28</v>
      </c>
      <c r="C13" s="18"/>
      <c r="F13" s="2" t="s">
        <v>34</v>
      </c>
      <c r="G13" s="11">
        <f>G11-G12</f>
        <v>10.878610942337133</v>
      </c>
      <c r="H13" s="2" t="s">
        <v>14</v>
      </c>
      <c r="K13">
        <f>((2^L12) - 1 / L12)</f>
        <v>1</v>
      </c>
    </row>
    <row r="19" spans="5:13" ht="28.8" customHeight="1" x14ac:dyDescent="0.3">
      <c r="F19" s="5" t="s">
        <v>35</v>
      </c>
      <c r="G19">
        <f>10*LOG10(3000)</f>
        <v>34.771212547196626</v>
      </c>
      <c r="H19" t="s">
        <v>23</v>
      </c>
    </row>
    <row r="20" spans="5:13" x14ac:dyDescent="0.3">
      <c r="E20" t="s">
        <v>36</v>
      </c>
      <c r="F20" t="s">
        <v>37</v>
      </c>
      <c r="G20">
        <f>20*(LOG10(7)-LOG10(2.31))</f>
        <v>9.6297212024422496</v>
      </c>
      <c r="H20" t="s">
        <v>14</v>
      </c>
    </row>
    <row r="24" spans="5:13" x14ac:dyDescent="0.3">
      <c r="K24" s="14"/>
      <c r="L24" s="15"/>
      <c r="M24" s="15"/>
    </row>
    <row r="29" spans="5:13" x14ac:dyDescent="0.3">
      <c r="K29" s="14"/>
      <c r="L29" s="15"/>
      <c r="M29" s="15"/>
    </row>
    <row r="30" spans="5:13" x14ac:dyDescent="0.3">
      <c r="L30" s="1"/>
    </row>
    <row r="31" spans="5:13" x14ac:dyDescent="0.3">
      <c r="L31" s="1"/>
    </row>
    <row r="34" spans="11:13" x14ac:dyDescent="0.3">
      <c r="K34" s="14"/>
      <c r="L34" s="15"/>
      <c r="M34" s="15"/>
    </row>
    <row r="36" spans="11:13" x14ac:dyDescent="0.3">
      <c r="L36" s="6"/>
    </row>
    <row r="38" spans="11:13" x14ac:dyDescent="0.3">
      <c r="L38" s="13"/>
    </row>
    <row r="39" spans="11:13" x14ac:dyDescent="0.3">
      <c r="K39" s="14"/>
      <c r="L39" s="15"/>
      <c r="M39" s="15"/>
    </row>
    <row r="40" spans="11:13" x14ac:dyDescent="0.3">
      <c r="L40" s="13"/>
    </row>
    <row r="42" spans="11:13" x14ac:dyDescent="0.3">
      <c r="L42" s="13"/>
    </row>
  </sheetData>
  <mergeCells count="12">
    <mergeCell ref="K39:M39"/>
    <mergeCell ref="F2:H2"/>
    <mergeCell ref="K34:M34"/>
    <mergeCell ref="K29:M29"/>
    <mergeCell ref="B2:D2"/>
    <mergeCell ref="B12:C12"/>
    <mergeCell ref="B13:C13"/>
    <mergeCell ref="F10:H10"/>
    <mergeCell ref="K24:M24"/>
    <mergeCell ref="J2:L2"/>
    <mergeCell ref="B11:C11"/>
    <mergeCell ref="B10:C1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39"/>
  <sheetViews>
    <sheetView tabSelected="1" zoomScale="76" zoomScaleNormal="77" workbookViewId="0">
      <selection activeCell="E19" sqref="E19"/>
    </sheetView>
  </sheetViews>
  <sheetFormatPr defaultRowHeight="14.4" x14ac:dyDescent="0.3"/>
  <cols>
    <col min="7" max="7" width="17.5546875" customWidth="1"/>
    <col min="10" max="10" width="11.33203125" customWidth="1"/>
    <col min="11" max="11" width="11.6640625" customWidth="1"/>
    <col min="19" max="19" width="9.33203125" customWidth="1"/>
  </cols>
  <sheetData>
    <row r="2" spans="2:20" x14ac:dyDescent="0.3">
      <c r="B2" s="16" t="s">
        <v>0</v>
      </c>
      <c r="C2" s="17"/>
      <c r="D2" s="18"/>
      <c r="F2" s="16" t="s">
        <v>1</v>
      </c>
      <c r="G2" s="17"/>
      <c r="H2" s="18"/>
      <c r="J2" s="16" t="s">
        <v>2</v>
      </c>
      <c r="K2" s="17"/>
      <c r="L2" s="18"/>
      <c r="R2" t="s">
        <v>3</v>
      </c>
      <c r="S2" s="1">
        <v>300000000</v>
      </c>
      <c r="T2" t="s">
        <v>4</v>
      </c>
    </row>
    <row r="3" spans="2:20" x14ac:dyDescent="0.3">
      <c r="B3" s="2" t="s">
        <v>5</v>
      </c>
      <c r="C3" s="3">
        <v>4</v>
      </c>
      <c r="D3" s="2" t="s">
        <v>6</v>
      </c>
      <c r="F3" s="2" t="s">
        <v>7</v>
      </c>
      <c r="G3" s="8">
        <v>2979774.8867482501</v>
      </c>
      <c r="H3" s="2" t="s">
        <v>8</v>
      </c>
      <c r="J3" s="2" t="s">
        <v>9</v>
      </c>
      <c r="K3" s="3">
        <v>13</v>
      </c>
      <c r="L3" s="2" t="s">
        <v>8</v>
      </c>
      <c r="R3" t="s">
        <v>10</v>
      </c>
      <c r="S3">
        <f>S2/(G5)</f>
        <v>3.5928143712574849E-2</v>
      </c>
      <c r="T3" t="s">
        <v>8</v>
      </c>
    </row>
    <row r="4" spans="2:20" x14ac:dyDescent="0.3">
      <c r="B4" s="2" t="s">
        <v>9</v>
      </c>
      <c r="C4" s="3">
        <v>8.2000000000000003E-2</v>
      </c>
      <c r="D4" s="2" t="s">
        <v>8</v>
      </c>
      <c r="F4" s="2" t="s">
        <v>11</v>
      </c>
      <c r="G4" s="4">
        <v>200000000</v>
      </c>
      <c r="H4" s="2" t="s">
        <v>12</v>
      </c>
      <c r="J4" s="2" t="s">
        <v>13</v>
      </c>
      <c r="K4" s="12">
        <v>56.8</v>
      </c>
      <c r="L4" s="2" t="s">
        <v>14</v>
      </c>
      <c r="R4" t="s">
        <v>15</v>
      </c>
      <c r="S4">
        <f>147.55 - 20*LOG10(G3) - 20 *LOG10(G5)</f>
        <v>-180.36739862249988</v>
      </c>
      <c r="T4" t="s">
        <v>14</v>
      </c>
    </row>
    <row r="5" spans="2:20" x14ac:dyDescent="0.3">
      <c r="B5" s="2" t="s">
        <v>13</v>
      </c>
      <c r="C5" s="3">
        <v>16</v>
      </c>
      <c r="D5" s="2" t="s">
        <v>14</v>
      </c>
      <c r="F5" s="2" t="s">
        <v>16</v>
      </c>
      <c r="G5" s="4">
        <f>8.35*10^9</f>
        <v>8350000000</v>
      </c>
      <c r="H5" s="2" t="s">
        <v>17</v>
      </c>
      <c r="J5" s="2" t="s">
        <v>18</v>
      </c>
      <c r="K5" s="3">
        <v>290</v>
      </c>
      <c r="L5" s="2" t="s">
        <v>19</v>
      </c>
      <c r="R5" t="s">
        <v>20</v>
      </c>
      <c r="S5" s="1">
        <f>1.38*10^(-23)</f>
        <v>1.3800000000000001E-23</v>
      </c>
      <c r="T5" t="s">
        <v>21</v>
      </c>
    </row>
    <row r="6" spans="2:20" x14ac:dyDescent="0.3">
      <c r="B6" s="2" t="s">
        <v>22</v>
      </c>
      <c r="C6" s="12">
        <f>10*LOG10(C3*C5)</f>
        <v>18.061799739838872</v>
      </c>
      <c r="D6" s="2" t="s">
        <v>23</v>
      </c>
      <c r="F6" s="2" t="s">
        <v>24</v>
      </c>
      <c r="G6" s="3">
        <v>3</v>
      </c>
      <c r="H6" s="2" t="s">
        <v>14</v>
      </c>
      <c r="J6" s="2" t="s">
        <v>25</v>
      </c>
      <c r="K6" s="12">
        <v>37.700000000000003</v>
      </c>
      <c r="L6" s="2" t="s">
        <v>26</v>
      </c>
    </row>
    <row r="10" spans="2:20" x14ac:dyDescent="0.3">
      <c r="B10" s="16" t="s">
        <v>27</v>
      </c>
      <c r="C10" s="18"/>
      <c r="F10" s="21" t="s">
        <v>28</v>
      </c>
      <c r="G10" s="17"/>
      <c r="H10" s="18"/>
    </row>
    <row r="11" spans="2:20" x14ac:dyDescent="0.3">
      <c r="B11" s="22" t="s">
        <v>29</v>
      </c>
      <c r="C11" s="18"/>
      <c r="F11" s="2" t="s">
        <v>30</v>
      </c>
      <c r="G11" s="11">
        <f>C6+K4-G6+S4-10*LOG10(S5*K5*G4)</f>
        <v>12.461330317697261</v>
      </c>
      <c r="H11" s="2" t="s">
        <v>14</v>
      </c>
    </row>
    <row r="12" spans="2:20" x14ac:dyDescent="0.3">
      <c r="B12" s="19" t="s">
        <v>31</v>
      </c>
      <c r="C12" s="18"/>
      <c r="F12" s="2" t="s">
        <v>32</v>
      </c>
      <c r="G12" s="3">
        <v>9.5</v>
      </c>
      <c r="H12" s="2" t="s">
        <v>14</v>
      </c>
    </row>
    <row r="13" spans="2:20" x14ac:dyDescent="0.3">
      <c r="B13" s="20" t="s">
        <v>28</v>
      </c>
      <c r="C13" s="18"/>
      <c r="F13" s="2" t="s">
        <v>34</v>
      </c>
      <c r="G13" s="11">
        <f>G11-G12</f>
        <v>2.9613303176972607</v>
      </c>
      <c r="H13" s="2" t="s">
        <v>14</v>
      </c>
    </row>
    <row r="21" spans="9:11" x14ac:dyDescent="0.3">
      <c r="I21" s="14"/>
      <c r="J21" s="15"/>
      <c r="K21" s="15"/>
    </row>
    <row r="25" spans="9:11" x14ac:dyDescent="0.3">
      <c r="J25" s="13"/>
    </row>
    <row r="26" spans="9:11" x14ac:dyDescent="0.3">
      <c r="I26" s="14"/>
      <c r="J26" s="15"/>
      <c r="K26" s="15"/>
    </row>
    <row r="27" spans="9:11" x14ac:dyDescent="0.3">
      <c r="J27" s="1"/>
    </row>
    <row r="28" spans="9:11" x14ac:dyDescent="0.3">
      <c r="J28" s="1"/>
    </row>
    <row r="29" spans="9:11" x14ac:dyDescent="0.3">
      <c r="J29" s="1"/>
    </row>
    <row r="31" spans="9:11" x14ac:dyDescent="0.3">
      <c r="I31" s="14"/>
      <c r="J31" s="15"/>
      <c r="K31" s="15"/>
    </row>
    <row r="33" spans="9:11" x14ac:dyDescent="0.3">
      <c r="J33" s="13"/>
    </row>
    <row r="35" spans="9:11" x14ac:dyDescent="0.3">
      <c r="J35" s="13"/>
    </row>
    <row r="36" spans="9:11" x14ac:dyDescent="0.3">
      <c r="I36" s="23"/>
      <c r="J36" s="15"/>
      <c r="K36" s="15"/>
    </row>
    <row r="37" spans="9:11" x14ac:dyDescent="0.3">
      <c r="J37" s="13"/>
    </row>
    <row r="39" spans="9:11" x14ac:dyDescent="0.3">
      <c r="J39" s="13"/>
    </row>
  </sheetData>
  <mergeCells count="12">
    <mergeCell ref="B13:C13"/>
    <mergeCell ref="F10:H10"/>
    <mergeCell ref="J2:L2"/>
    <mergeCell ref="I36:K36"/>
    <mergeCell ref="B11:C11"/>
    <mergeCell ref="B10:C10"/>
    <mergeCell ref="I31:K31"/>
    <mergeCell ref="I26:K26"/>
    <mergeCell ref="F2:H2"/>
    <mergeCell ref="I21:K21"/>
    <mergeCell ref="B2:D2"/>
    <mergeCell ref="B12:C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</vt:lpstr>
      <vt:lpstr>Telemetry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Kamal, Kanishka</dc:creator>
  <cp:lastModifiedBy>Kamal, Kanishka</cp:lastModifiedBy>
  <dcterms:created xsi:type="dcterms:W3CDTF">2024-11-12T21:48:22Z</dcterms:created>
  <dcterms:modified xsi:type="dcterms:W3CDTF">2024-11-23T06:05:14Z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0x010100020CD27735C85D4CB6BDA1421A9400ED</vt:lpwstr>
  </property>
</Properties>
</file>